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<sst xmlns="http://schemas.openxmlformats.org/spreadsheetml/2006/main" count="350" uniqueCount="281">
  <si>
    <t xml:space="preserve">Citation provenance kit — reproduction kit</t>
  </si>
  <si>
    <t xml:space="preserve">Kit v1.8 · accompanies What Breaks in a Citation, v1.1 (26 July 2026)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</si>
  <si>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</si>
  <si>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</si>
  <si>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</si>
  <si>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</si>
  <si>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</si>
  <si>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</si>
  <si>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</si>
  <si>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</si>
  <si>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</si>
  <si>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The original log kept three things for each entry: what was wrong, what was right, and how it came to notice (Appendix A-0). Every other column here was added afterwards. The paper says the six fields of §7-1 were recorded for each correction (§7-1, §8-1); the published log (Appendix A-2, A-6)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</si>
  <si>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</si>
  <si>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</si>
  <si>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</si>
  <si>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</si>
  <si>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</si>
  <si>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(EN) https://lnkd.in/p/giTfeMUh · (JA) https://lnkd.in/p/gFUXFv2w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</si>
  <si>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</si>
  <si>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</si>
  <si>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</si>
  <si>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</si>
  <si>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</si>
  <si>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</si>
  <si>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</si>
  <si>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</si>
  <si>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</si>
  <si>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</si>
  <si>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</si>
  <si>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</si>
  <si>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</si>
  <si>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</si>
  <si>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</si>
  <si>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</si>
  <si>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</si>
  <si>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</si>
  <si>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</si>
  <si>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</si>
  <si>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</si>
  <si>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</si>
  <si>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</si>
  <si>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</si>
  <si>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</si>
  <si>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author</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</si>
  <si>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</si>
  <si>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</si>
  <si>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</si>
  <si>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</si>
  <si>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</si>
  <si>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</si>
  <si>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</si>
  <si>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</si>
  <si>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</si>
  <si>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</si>
  <si>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</si>
  <si>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</si>
  <si>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</si>
  <si>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</si>
  <si>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</si>
  <si>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</si>
  <si>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</si>
  <si>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</si>
  <si>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</si>
  <si>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</si>
  <si>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</si>
  <si>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</si>
  <si>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</si>
  <si>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</si>
  <si>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</si>
  <si>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</si>
  <si>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</si>
  <si>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</si>
  <si>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</si>
  <si>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</si>
  <si>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</si>
  <si>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</si>
  <si>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</si>
  <si>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</si>
  <si>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</si>
  <si>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</si>
  <si>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</si>
  <si>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</si>
  <si>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</si>
  <si>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</si>
  <si>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</si>
  <si>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</si>
  <si>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</si>
  <si>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</si>
  <si>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</si>
  <si>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</si>
  <si>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</si>
  <si>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</si>
  <si>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</si>
  <si>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</si>
  <si>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</si>
  <si>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</si>
  <si>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</si>
  <si>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</si>
  <si>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</si>
  <si>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</si>
  <si>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</si>
  <si>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</si>
  <si>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</si>
  <si>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</si>
  <si>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</si>
  <si>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</si>
  <si>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</si>
  <si>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</si>
  <si>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</si>
  <si>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</si>
  <si>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</si>
  <si>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</si>
  <si>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</si>
  <si>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</si>
  <si>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</si>
  <si>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</si>
  <si>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</si>
  <si>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</si>
  <si>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</si>
  <si>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</si>
  <si>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</si>
  <si>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</si>
  <si>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</si>
  <si>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</si>
  <si>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</si>
  <si>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</si>
  <si>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</si>
  <si>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</si>
  <si>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</si>
  <si>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</si>
  <si>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</si>
  <si>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</si>
  <si>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</si>
  <si>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</si>
  <si>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</si>
  <si>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</si>
  <si>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</si>
  <si>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 (provisional, untested)</t>
  </si>
  <si>
    <t xml:space="preserve">A value computed from cited primaries is neither A nor D. The paper proposes a marker but has not tested one (§4-6, §9-3). Suggested interim: grade the operands, and state the arithmetic beside it, labelled as the author's.</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</si>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</sst>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2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60"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t="s">
        <v>43</v>
      </c>
      <c r="L5" s="6"/>
      <c r="M5" s="6" t="s">
        <v>44</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45</v>
      </c>
    </row>
    <row r="2" customFormat="false" ht="15" hidden="false" customHeight="false" outlineLevel="0" collapsed="false">
      <c r="A2" s="2" t="s">
        <v>46</v>
      </c>
    </row>
    <row r="4" customFormat="false" ht="33.75" hidden="false" customHeight="true" outlineLevel="0" collapsed="false">
      <c r="A4" s="5" t="s">
        <v>47</v>
      </c>
      <c r="B4" s="8" t="s">
        <v>48</v>
      </c>
      <c r="C4" s="5" t="s">
        <v>49</v>
      </c>
      <c r="D4" s="5" t="s">
        <v>50</v>
      </c>
      <c r="E4" s="5" t="s">
        <v>51</v>
      </c>
    </row>
    <row r="5" customFormat="false" ht="23.85" hidden="false" customHeight="false" outlineLevel="0" collapsed="false">
      <c r="A5" s="3" t="s">
        <v>36</v>
      </c>
      <c r="B5" s="9" t="s">
        <v>52</v>
      </c>
      <c r="C5" s="4" t="s">
        <v>53</v>
      </c>
      <c r="D5" s="4" t="s">
        <v>54</v>
      </c>
      <c r="E5" s="4" t="s">
        <v>55</v>
      </c>
    </row>
    <row r="6" customFormat="false" ht="23.85" hidden="false" customHeight="false" outlineLevel="0" collapsed="false">
      <c r="A6" s="3" t="s">
        <v>56</v>
      </c>
      <c r="B6" s="9" t="s">
        <v>57</v>
      </c>
      <c r="C6" s="4" t="s">
        <v>58</v>
      </c>
      <c r="D6" s="4" t="s">
        <v>59</v>
      </c>
      <c r="E6" s="4" t="s">
        <v>60</v>
      </c>
    </row>
    <row r="7" customFormat="false" ht="23.85" hidden="false" customHeight="false" outlineLevel="0" collapsed="false">
      <c r="A7" s="3" t="s">
        <v>61</v>
      </c>
      <c r="B7" s="9" t="s">
        <v>62</v>
      </c>
      <c r="C7" s="4" t="s">
        <v>63</v>
      </c>
      <c r="D7" s="4" t="s">
        <v>54</v>
      </c>
      <c r="E7" s="4" t="s">
        <v>64</v>
      </c>
    </row>
    <row r="8" customFormat="false" ht="15" hidden="false" customHeight="false" outlineLevel="0" collapsed="false">
      <c r="A8" s="3" t="s">
        <v>65</v>
      </c>
      <c r="B8" s="9" t="s">
        <v>66</v>
      </c>
      <c r="C8" s="4" t="s">
        <v>67</v>
      </c>
      <c r="D8" s="4" t="s">
        <v>54</v>
      </c>
      <c r="E8" s="4" t="s">
        <v>68</v>
      </c>
    </row>
    <row r="9" customFormat="false" ht="23.85" hidden="false" customHeight="false" outlineLevel="0" collapsed="false">
      <c r="A9" s="3" t="s">
        <v>69</v>
      </c>
      <c r="B9" s="9" t="s">
        <v>70</v>
      </c>
      <c r="C9" s="4" t="s">
        <v>71</v>
      </c>
      <c r="D9" s="4" t="s">
        <v>72</v>
      </c>
      <c r="E9" s="4" t="s">
        <v>73</v>
      </c>
    </row>
    <row r="10" customFormat="false" ht="23.85" hidden="false" customHeight="false" outlineLevel="0" collapsed="false">
      <c r="A10" s="3" t="s">
        <v>74</v>
      </c>
      <c r="B10" s="9" t="s">
        <v>75</v>
      </c>
      <c r="C10" s="4" t="s">
        <v>76</v>
      </c>
      <c r="D10" s="4" t="s">
        <v>54</v>
      </c>
      <c r="E10" s="4" t="s">
        <v>77</v>
      </c>
    </row>
    <row r="11" customFormat="false" ht="23.85" hidden="false" customHeight="false" outlineLevel="0" collapsed="false">
      <c r="A11" s="3" t="s">
        <v>78</v>
      </c>
      <c r="B11" s="9" t="s">
        <v>79</v>
      </c>
      <c r="C11" s="4" t="s">
        <v>80</v>
      </c>
      <c r="D11" s="4" t="s">
        <v>72</v>
      </c>
      <c r="E11" s="4" t="s">
        <v>81</v>
      </c>
    </row>
    <row r="12" customFormat="false" ht="23.85" hidden="false" customHeight="false" outlineLevel="0" collapsed="false">
      <c r="A12" s="3" t="s">
        <v>82</v>
      </c>
      <c r="B12" s="9" t="s">
        <v>83</v>
      </c>
      <c r="C12" s="4" t="s">
        <v>84</v>
      </c>
      <c r="D12" s="4" t="s">
        <v>72</v>
      </c>
      <c r="E12" s="4" t="s">
        <v>85</v>
      </c>
    </row>
    <row r="13" customFormat="false" ht="23.85" hidden="false" customHeight="false" outlineLevel="0" collapsed="false">
      <c r="A13" s="3" t="s">
        <v>86</v>
      </c>
      <c r="B13" s="9" t="s">
        <v>87</v>
      </c>
      <c r="C13" s="4" t="s">
        <v>88</v>
      </c>
      <c r="D13" s="4" t="s">
        <v>54</v>
      </c>
      <c r="E13" s="4" t="s">
        <v>89</v>
      </c>
    </row>
    <row r="14" customFormat="false" ht="23.85" hidden="false" customHeight="false" outlineLevel="0" collapsed="false">
      <c r="A14" s="3" t="s">
        <v>90</v>
      </c>
      <c r="B14" s="9" t="s">
        <v>91</v>
      </c>
      <c r="C14" s="4" t="s">
        <v>92</v>
      </c>
      <c r="D14" s="4" t="s">
        <v>72</v>
      </c>
      <c r="E14" s="4" t="s">
        <v>93</v>
      </c>
    </row>
    <row r="15" customFormat="false" ht="23.85" hidden="false" customHeight="false" outlineLevel="0" collapsed="false">
      <c r="A15" s="6" t="s">
        <v>94</v>
      </c>
      <c r="B15" s="10" t="s">
        <v>95</v>
      </c>
      <c r="C15" s="6" t="s">
        <v>96</v>
      </c>
      <c r="D15" s="6" t="s">
        <v>72</v>
      </c>
      <c r="E15" s="6" t="s">
        <v>97</v>
      </c>
    </row>
    <row r="16" customFormat="false" ht="23.85" hidden="false" customHeight="false" outlineLevel="0" collapsed="false">
      <c r="A16" s="6" t="s">
        <v>98</v>
      </c>
      <c r="B16" s="10" t="s">
        <v>99</v>
      </c>
      <c r="C16" s="6" t="s">
        <v>100</v>
      </c>
      <c r="D16" s="6" t="s">
        <v>72</v>
      </c>
      <c r="E16" s="6" t="s">
        <v>97</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101</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102</v>
      </c>
    </row>
    <row r="2" customFormat="false" ht="15" hidden="false" customHeight="false" outlineLevel="0" collapsed="false">
      <c r="A2" s="2" t="s">
        <v>103</v>
      </c>
    </row>
    <row r="4" customFormat="false" ht="33.75" hidden="false" customHeight="true" outlineLevel="0" collapsed="false">
      <c r="A4" s="5" t="s">
        <v>104</v>
      </c>
      <c r="B4" s="5" t="s">
        <v>105</v>
      </c>
      <c r="C4" s="8" t="s">
        <v>106</v>
      </c>
    </row>
    <row r="5" customFormat="false" ht="15" hidden="false" customHeight="false" outlineLevel="0" collapsed="false">
      <c r="A5" s="3" t="s">
        <v>107</v>
      </c>
      <c r="B5" s="4" t="s">
        <v>108</v>
      </c>
      <c r="C5" s="9" t="s">
        <v>109</v>
      </c>
    </row>
    <row r="6" customFormat="false" ht="15" hidden="false" customHeight="false" outlineLevel="0" collapsed="false">
      <c r="A6" s="3" t="s">
        <v>110</v>
      </c>
      <c r="B6" s="4" t="s">
        <v>111</v>
      </c>
      <c r="C6" s="9" t="s">
        <v>112</v>
      </c>
    </row>
    <row r="7" customFormat="false" ht="15" hidden="false" customHeight="false" outlineLevel="0" collapsed="false">
      <c r="A7" s="3" t="s">
        <v>113</v>
      </c>
      <c r="B7" s="4" t="s">
        <v>114</v>
      </c>
      <c r="C7" s="9" t="s">
        <v>115</v>
      </c>
    </row>
    <row r="8" customFormat="false" ht="15" hidden="false" customHeight="false" outlineLevel="0" collapsed="false">
      <c r="A8" s="3" t="s">
        <v>116</v>
      </c>
      <c r="B8" s="4" t="s">
        <v>117</v>
      </c>
      <c r="C8" s="9" t="s">
        <v>118</v>
      </c>
    </row>
    <row r="9" customFormat="false" ht="15" hidden="false" customHeight="false" outlineLevel="0" collapsed="false">
      <c r="A9" s="3" t="s">
        <v>97</v>
      </c>
      <c r="B9" s="4" t="s">
        <v>119</v>
      </c>
      <c r="C9" s="9" t="s">
        <v>120</v>
      </c>
    </row>
    <row r="11" customFormat="false" ht="33.75" hidden="false" customHeight="true" outlineLevel="0" collapsed="false">
      <c r="A11" s="5" t="s">
        <v>121</v>
      </c>
      <c r="B11" s="5" t="s">
        <v>122</v>
      </c>
      <c r="C11" s="5"/>
    </row>
    <row r="12" customFormat="false" ht="31.5" hidden="false" customHeight="true" outlineLevel="0" collapsed="false">
      <c r="A12" s="3" t="s">
        <v>123</v>
      </c>
      <c r="B12" s="4" t="s">
        <v>124</v>
      </c>
      <c r="C12" s="4"/>
    </row>
    <row r="13" customFormat="false" ht="31.5" hidden="false" customHeight="true" outlineLevel="0" collapsed="false">
      <c r="A13" s="3" t="s">
        <v>125</v>
      </c>
      <c r="B13" s="4" t="s">
        <v>126</v>
      </c>
      <c r="C13" s="4"/>
    </row>
    <row r="14" customFormat="false" ht="31.5" hidden="false" customHeight="true" outlineLevel="0" collapsed="false">
      <c r="A14" s="3" t="s">
        <v>127</v>
      </c>
      <c r="B14" s="4" t="s">
        <v>128</v>
      </c>
      <c r="C14" s="4"/>
    </row>
    <row r="15" customFormat="false" ht="31.5" hidden="false" customHeight="true" outlineLevel="0" collapsed="false">
      <c r="A15" s="3" t="s">
        <v>129</v>
      </c>
      <c r="B15" s="4" t="s">
        <v>130</v>
      </c>
      <c r="C15" s="4"/>
    </row>
    <row r="16" customFormat="false" ht="31.5" hidden="false" customHeight="true" outlineLevel="0" collapsed="false">
      <c r="A16" s="3" t="s">
        <v>131</v>
      </c>
      <c r="B16" s="4" t="s">
        <v>132</v>
      </c>
      <c r="C16" s="4"/>
    </row>
    <row r="17" customFormat="false" ht="31.5" hidden="false" customHeight="true" outlineLevel="0" collapsed="false">
      <c r="A17" s="3" t="s">
        <v>133</v>
      </c>
      <c r="B17" s="4" t="s">
        <v>134</v>
      </c>
      <c r="C17" s="4"/>
    </row>
    <row r="18" customFormat="false" ht="31.5" hidden="false" customHeight="true" outlineLevel="0" collapsed="false">
      <c r="A18" s="3" t="s">
        <v>135</v>
      </c>
      <c r="B18" s="4" t="s">
        <v>136</v>
      </c>
      <c r="C18" s="4"/>
    </row>
    <row r="19" customFormat="false" ht="31.5" hidden="false" customHeight="true" outlineLevel="0" collapsed="false">
      <c r="A19" s="3" t="s">
        <v>137</v>
      </c>
      <c r="B19" s="4" t="s">
        <v>138</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139</v>
      </c>
    </row>
    <row r="2" customFormat="false" ht="15" hidden="false" customHeight="false" outlineLevel="0" collapsed="false">
      <c r="A2" s="2" t="s">
        <v>140</v>
      </c>
    </row>
    <row r="4" customFormat="false" ht="33.75" hidden="false" customHeight="true" outlineLevel="0" collapsed="false">
      <c r="A4" s="5" t="s">
        <v>141</v>
      </c>
      <c r="B4" s="8" t="s">
        <v>142</v>
      </c>
      <c r="C4" s="5" t="s">
        <v>143</v>
      </c>
      <c r="D4" s="5" t="s">
        <v>144</v>
      </c>
      <c r="E4" s="5" t="s">
        <v>145</v>
      </c>
    </row>
    <row r="5" customFormat="false" ht="15" hidden="false" customHeight="false" outlineLevel="0" collapsed="false">
      <c r="A5" s="4" t="s">
        <v>146</v>
      </c>
      <c r="B5" s="9" t="s">
        <v>147</v>
      </c>
      <c r="C5" s="12"/>
      <c r="D5" s="12"/>
      <c r="E5" s="13" t="str">
        <f aca="false">IF(OR(C5="",D5=""),"",C5*D5/60)</f>
        <v/>
      </c>
    </row>
    <row r="6" customFormat="false" ht="15" hidden="false" customHeight="false" outlineLevel="0" collapsed="false">
      <c r="A6" s="4" t="s">
        <v>148</v>
      </c>
      <c r="B6" s="9" t="s">
        <v>149</v>
      </c>
      <c r="C6" s="12"/>
      <c r="D6" s="12"/>
      <c r="E6" s="13" t="str">
        <f aca="false">IF(OR(C6="",D6=""),"",C6*D6/60)</f>
        <v/>
      </c>
    </row>
    <row r="7" customFormat="false" ht="15" hidden="false" customHeight="false" outlineLevel="0" collapsed="false">
      <c r="A7" s="4" t="s">
        <v>150</v>
      </c>
      <c r="B7" s="9" t="s">
        <v>151</v>
      </c>
      <c r="C7" s="12"/>
      <c r="D7" s="12"/>
      <c r="E7" s="13" t="str">
        <f aca="false">IF(OR(C7="",D7=""),"",C7*D7/60)</f>
        <v/>
      </c>
    </row>
    <row r="8" customFormat="false" ht="15" hidden="false" customHeight="false" outlineLevel="0" collapsed="false">
      <c r="A8" s="4" t="s">
        <v>152</v>
      </c>
      <c r="B8" s="9" t="s">
        <v>153</v>
      </c>
      <c r="C8" s="12"/>
      <c r="D8" s="12"/>
      <c r="E8" s="13" t="str">
        <f aca="false">IF(OR(C8="",D8=""),"",C8*D8/60)</f>
        <v/>
      </c>
    </row>
    <row r="9" customFormat="false" ht="15" hidden="false" customHeight="false" outlineLevel="0" collapsed="false">
      <c r="A9" s="4" t="s">
        <v>154</v>
      </c>
      <c r="B9" s="9" t="s">
        <v>155</v>
      </c>
      <c r="C9" s="12"/>
      <c r="D9" s="12"/>
      <c r="E9" s="13" t="str">
        <f aca="false">IF(OR(C9="",D9=""),"",C9*D9/60)</f>
        <v/>
      </c>
    </row>
    <row r="10" customFormat="false" ht="15" hidden="false" customHeight="false" outlineLevel="0" collapsed="false">
      <c r="A10" s="4" t="s">
        <v>156</v>
      </c>
      <c r="B10" s="9" t="s">
        <v>157</v>
      </c>
      <c r="C10" s="12"/>
      <c r="D10" s="12"/>
      <c r="E10" s="13" t="str">
        <f aca="false">IF(OR(C10="",D10=""),"",C10*D10/60)</f>
        <v/>
      </c>
    </row>
    <row r="11" customFormat="false" ht="15" hidden="false" customHeight="false" outlineLevel="0" collapsed="false">
      <c r="A11" s="4" t="s">
        <v>158</v>
      </c>
      <c r="B11" s="9" t="s">
        <v>159</v>
      </c>
      <c r="C11" s="12"/>
      <c r="D11" s="12"/>
      <c r="E11" s="13" t="str">
        <f aca="false">IF(OR(C11="",D11=""),"",C11*D11/60)</f>
        <v/>
      </c>
    </row>
    <row r="12" customFormat="false" ht="29.85" hidden="false" customHeight="false" outlineLevel="0" collapsed="false">
      <c r="A12" s="4" t="s">
        <v>160</v>
      </c>
      <c r="B12" s="9" t="s">
        <v>161</v>
      </c>
      <c r="C12" s="12"/>
      <c r="D12" s="12"/>
      <c r="E12" s="13" t="str">
        <f aca="false">IF(OR(C12="",D12=""),"",C12*D12/60)</f>
        <v/>
      </c>
    </row>
    <row r="13" customFormat="false" ht="15" hidden="false" customHeight="false" outlineLevel="0" collapsed="false">
      <c r="A13" s="3" t="s">
        <v>162</v>
      </c>
      <c r="B13" s="14" t="s">
        <v>163</v>
      </c>
      <c r="C13" s="3" t="n">
        <f aca="false">SUM(C5:C12)</f>
        <v>0</v>
      </c>
      <c r="E13" s="15" t="n">
        <f aca="false">SUM(E5:E12)</f>
        <v>0</v>
      </c>
    </row>
    <row r="14" customFormat="false" ht="15" hidden="false" customHeight="false" outlineLevel="0" collapsed="false">
      <c r="A14" s="3" t="s">
        <v>164</v>
      </c>
      <c r="E14" s="16" t="str">
        <f aca="false">IF(E13=0,"",IF(E12="",0,E12/E13))</f>
        <v/>
      </c>
    </row>
    <row r="16" customFormat="false" ht="30" hidden="false" customHeight="true" outlineLevel="0" collapsed="false">
      <c r="A16" s="11" t="s">
        <v>165</v>
      </c>
      <c r="B16" s="11"/>
      <c r="C16" s="11"/>
      <c r="D16" s="11"/>
      <c r="E16" s="11"/>
    </row>
    <row r="17" customFormat="false" ht="30" hidden="false" customHeight="true" outlineLevel="0" collapsed="false">
      <c r="A17" s="11" t="s">
        <v>166</v>
      </c>
      <c r="B17" s="11"/>
      <c r="C17" s="11"/>
      <c r="D17" s="11"/>
      <c r="E17" s="11"/>
    </row>
    <row r="18" customFormat="false" ht="30" hidden="false" customHeight="true" outlineLevel="0" collapsed="false">
      <c r="A18" s="11" t="s">
        <v>167</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168</v>
      </c>
    </row>
    <row r="2" customFormat="false" ht="15" hidden="false" customHeight="false" outlineLevel="0" collapsed="false">
      <c r="A2" s="2" t="s">
        <v>169</v>
      </c>
    </row>
    <row r="4" customFormat="false" ht="33.75" hidden="false" customHeight="true" outlineLevel="0" collapsed="false">
      <c r="A4" s="5" t="s">
        <v>20</v>
      </c>
      <c r="B4" s="5" t="s">
        <v>170</v>
      </c>
      <c r="C4" s="5" t="s">
        <v>171</v>
      </c>
      <c r="D4" s="5" t="s">
        <v>172</v>
      </c>
      <c r="E4" s="5" t="s">
        <v>173</v>
      </c>
      <c r="F4" s="5" t="s">
        <v>174</v>
      </c>
    </row>
    <row r="5" customFormat="false" ht="23.85" hidden="false" customHeight="false" outlineLevel="0" collapsed="false">
      <c r="A5" s="4" t="n">
        <v>1</v>
      </c>
      <c r="B5" s="4" t="s">
        <v>175</v>
      </c>
      <c r="C5" s="4" t="s">
        <v>176</v>
      </c>
      <c r="D5" s="4" t="s">
        <v>177</v>
      </c>
      <c r="E5" s="4" t="s">
        <v>97</v>
      </c>
      <c r="F5" s="4"/>
    </row>
    <row r="6" customFormat="false" ht="23.85" hidden="false" customHeight="false" outlineLevel="0" collapsed="false">
      <c r="A6" s="4" t="n">
        <v>2</v>
      </c>
      <c r="B6" s="4" t="s">
        <v>178</v>
      </c>
      <c r="C6" s="4" t="s">
        <v>179</v>
      </c>
      <c r="D6" s="4" t="s">
        <v>86</v>
      </c>
      <c r="E6" s="4" t="s">
        <v>97</v>
      </c>
      <c r="F6" s="4"/>
    </row>
    <row r="7" customFormat="false" ht="15" hidden="false" customHeight="false" outlineLevel="0" collapsed="false">
      <c r="A7" s="4" t="n">
        <v>3</v>
      </c>
      <c r="B7" s="4" t="s">
        <v>180</v>
      </c>
      <c r="C7" s="4" t="s">
        <v>181</v>
      </c>
      <c r="D7" s="4" t="s">
        <v>36</v>
      </c>
      <c r="E7" s="4" t="s">
        <v>182</v>
      </c>
      <c r="F7" s="4"/>
    </row>
    <row r="8" customFormat="false" ht="15" hidden="false" customHeight="false" outlineLevel="0" collapsed="false">
      <c r="A8" s="4" t="n">
        <v>4</v>
      </c>
      <c r="B8" s="4" t="s">
        <v>183</v>
      </c>
      <c r="C8" s="4" t="s">
        <v>181</v>
      </c>
      <c r="D8" s="4" t="s">
        <v>36</v>
      </c>
      <c r="E8" s="4" t="s">
        <v>182</v>
      </c>
      <c r="F8" s="4"/>
    </row>
    <row r="9" customFormat="false" ht="23.85" hidden="false" customHeight="false" outlineLevel="0" collapsed="false">
      <c r="A9" s="4" t="n">
        <v>5</v>
      </c>
      <c r="B9" s="4" t="s">
        <v>184</v>
      </c>
      <c r="C9" s="4" t="s">
        <v>185</v>
      </c>
      <c r="D9" s="4" t="s">
        <v>69</v>
      </c>
      <c r="E9" s="4" t="s">
        <v>186</v>
      </c>
      <c r="F9" s="4"/>
    </row>
    <row r="10" customFormat="false" ht="23.85" hidden="false" customHeight="false" outlineLevel="0" collapsed="false">
      <c r="A10" s="4" t="n">
        <v>6</v>
      </c>
      <c r="B10" s="4" t="s">
        <v>187</v>
      </c>
      <c r="C10" s="4" t="s">
        <v>188</v>
      </c>
      <c r="D10" s="4" t="s">
        <v>69</v>
      </c>
      <c r="E10" s="4" t="s">
        <v>189</v>
      </c>
      <c r="F10" s="4"/>
    </row>
    <row r="11" customFormat="false" ht="23.85" hidden="false" customHeight="false" outlineLevel="0" collapsed="false">
      <c r="A11" s="4" t="n">
        <v>7</v>
      </c>
      <c r="B11" s="4" t="s">
        <v>190</v>
      </c>
      <c r="C11" s="4" t="s">
        <v>188</v>
      </c>
      <c r="D11" s="4" t="s">
        <v>36</v>
      </c>
      <c r="E11" s="4" t="s">
        <v>97</v>
      </c>
      <c r="F11" s="4" t="s">
        <v>191</v>
      </c>
    </row>
    <row r="12" customFormat="false" ht="35.05" hidden="false" customHeight="false" outlineLevel="0" collapsed="false">
      <c r="A12" s="4" t="n">
        <v>8</v>
      </c>
      <c r="B12" s="4" t="s">
        <v>192</v>
      </c>
      <c r="C12" s="4" t="s">
        <v>193</v>
      </c>
      <c r="D12" s="4" t="s">
        <v>194</v>
      </c>
      <c r="E12" s="4" t="s">
        <v>195</v>
      </c>
      <c r="F12" s="4"/>
    </row>
    <row r="13" customFormat="false" ht="23.85" hidden="false" customHeight="false" outlineLevel="0" collapsed="false">
      <c r="A13" s="4" t="n">
        <v>9</v>
      </c>
      <c r="B13" s="4" t="s">
        <v>196</v>
      </c>
      <c r="C13" s="4" t="s">
        <v>197</v>
      </c>
      <c r="D13" s="4" t="s">
        <v>198</v>
      </c>
      <c r="E13" s="4" t="s">
        <v>97</v>
      </c>
      <c r="F13" s="4"/>
    </row>
    <row r="14" customFormat="false" ht="23.85" hidden="false" customHeight="false" outlineLevel="0" collapsed="false">
      <c r="A14" s="4" t="n">
        <v>10</v>
      </c>
      <c r="B14" s="4" t="s">
        <v>199</v>
      </c>
      <c r="C14" s="4" t="s">
        <v>200</v>
      </c>
      <c r="D14" s="4" t="s">
        <v>36</v>
      </c>
      <c r="E14" s="4" t="s">
        <v>97</v>
      </c>
      <c r="F14" s="4"/>
    </row>
    <row r="15" customFormat="false" ht="23.85" hidden="false" customHeight="false" outlineLevel="0" collapsed="false">
      <c r="A15" s="4" t="n">
        <v>11</v>
      </c>
      <c r="B15" s="4" t="s">
        <v>201</v>
      </c>
      <c r="C15" s="4" t="s">
        <v>202</v>
      </c>
      <c r="D15" s="4" t="s">
        <v>65</v>
      </c>
      <c r="E15" s="4" t="s">
        <v>203</v>
      </c>
      <c r="F15" s="4"/>
    </row>
    <row r="16" customFormat="false" ht="23.85" hidden="false" customHeight="false" outlineLevel="0" collapsed="false">
      <c r="A16" s="4" t="n">
        <v>12</v>
      </c>
      <c r="B16" s="4" t="s">
        <v>204</v>
      </c>
      <c r="C16" s="4" t="s">
        <v>205</v>
      </c>
      <c r="D16" s="4" t="s">
        <v>177</v>
      </c>
      <c r="E16" s="4" t="s">
        <v>97</v>
      </c>
      <c r="F16" s="4"/>
    </row>
    <row r="17" customFormat="false" ht="23.85" hidden="false" customHeight="false" outlineLevel="0" collapsed="false">
      <c r="A17" s="4" t="n">
        <v>13</v>
      </c>
      <c r="B17" s="4" t="s">
        <v>206</v>
      </c>
      <c r="C17" s="4" t="s">
        <v>200</v>
      </c>
      <c r="D17" s="4" t="s">
        <v>69</v>
      </c>
      <c r="E17" s="4" t="s">
        <v>189</v>
      </c>
      <c r="F17" s="4"/>
    </row>
    <row r="18" customFormat="false" ht="23.85" hidden="false" customHeight="false" outlineLevel="0" collapsed="false">
      <c r="A18" s="4" t="n">
        <v>14</v>
      </c>
      <c r="B18" s="4" t="s">
        <v>207</v>
      </c>
      <c r="C18" s="4" t="s">
        <v>208</v>
      </c>
      <c r="D18" s="4" t="s">
        <v>78</v>
      </c>
      <c r="E18" s="4" t="s">
        <v>189</v>
      </c>
      <c r="F18" s="4"/>
    </row>
    <row r="19" customFormat="false" ht="23.85" hidden="false" customHeight="false" outlineLevel="0" collapsed="false">
      <c r="A19" s="4" t="n">
        <v>15</v>
      </c>
      <c r="B19" s="4" t="s">
        <v>209</v>
      </c>
      <c r="C19" s="4" t="s">
        <v>208</v>
      </c>
      <c r="D19" s="4" t="s">
        <v>69</v>
      </c>
      <c r="E19" s="4" t="s">
        <v>189</v>
      </c>
      <c r="F19" s="4"/>
    </row>
    <row r="20" customFormat="false" ht="35.05" hidden="false" customHeight="false" outlineLevel="0" collapsed="false">
      <c r="A20" s="4" t="n">
        <v>16</v>
      </c>
      <c r="B20" s="4" t="s">
        <v>210</v>
      </c>
      <c r="C20" s="4" t="s">
        <v>211</v>
      </c>
      <c r="D20" s="4" t="s">
        <v>36</v>
      </c>
      <c r="E20" s="4" t="s">
        <v>212</v>
      </c>
      <c r="F20" s="4" t="s">
        <v>213</v>
      </c>
    </row>
    <row r="21" customFormat="false" ht="23.85" hidden="false" customHeight="false" outlineLevel="0" collapsed="false">
      <c r="A21" s="4" t="n">
        <v>17</v>
      </c>
      <c r="B21" s="4" t="s">
        <v>214</v>
      </c>
      <c r="C21" s="4" t="s">
        <v>215</v>
      </c>
      <c r="D21" s="4" t="s">
        <v>86</v>
      </c>
      <c r="E21" s="4" t="s">
        <v>97</v>
      </c>
      <c r="F21" s="4" t="s">
        <v>191</v>
      </c>
    </row>
    <row r="22" customFormat="false" ht="23.85" hidden="false" customHeight="false" outlineLevel="0" collapsed="false">
      <c r="A22" s="4" t="n">
        <v>18</v>
      </c>
      <c r="B22" s="4" t="s">
        <v>216</v>
      </c>
      <c r="C22" s="4" t="s">
        <v>217</v>
      </c>
      <c r="D22" s="4" t="s">
        <v>82</v>
      </c>
      <c r="E22" s="4" t="s">
        <v>218</v>
      </c>
      <c r="F22" s="4"/>
    </row>
    <row r="23" customFormat="false" ht="23.85" hidden="false" customHeight="false" outlineLevel="0" collapsed="false">
      <c r="A23" s="4" t="n">
        <v>19</v>
      </c>
      <c r="B23" s="4" t="s">
        <v>219</v>
      </c>
      <c r="C23" s="4" t="s">
        <v>220</v>
      </c>
      <c r="D23" s="4" t="s">
        <v>36</v>
      </c>
      <c r="E23" s="4" t="s">
        <v>221</v>
      </c>
      <c r="F23" s="4"/>
    </row>
    <row r="24" customFormat="false" ht="23.85" hidden="false" customHeight="false" outlineLevel="0" collapsed="false">
      <c r="A24" s="4" t="n">
        <v>20</v>
      </c>
      <c r="B24" s="4" t="s">
        <v>222</v>
      </c>
      <c r="C24" s="4" t="s">
        <v>223</v>
      </c>
      <c r="D24" s="4" t="s">
        <v>36</v>
      </c>
      <c r="E24" s="4" t="s">
        <v>224</v>
      </c>
      <c r="F24" s="4" t="s">
        <v>191</v>
      </c>
    </row>
    <row r="25" customFormat="false" ht="23.85" hidden="false" customHeight="false" outlineLevel="0" collapsed="false">
      <c r="A25" s="4" t="n">
        <v>21</v>
      </c>
      <c r="B25" s="4" t="s">
        <v>225</v>
      </c>
      <c r="C25" s="4" t="s">
        <v>226</v>
      </c>
      <c r="D25" s="4" t="s">
        <v>227</v>
      </c>
      <c r="E25" s="4" t="s">
        <v>189</v>
      </c>
      <c r="F25" s="4"/>
    </row>
    <row r="26" customFormat="false" ht="23.85" hidden="false" customHeight="false" outlineLevel="0" collapsed="false">
      <c r="A26" s="4" t="n">
        <v>22</v>
      </c>
      <c r="B26" s="4" t="s">
        <v>228</v>
      </c>
      <c r="C26" s="4" t="s">
        <v>229</v>
      </c>
      <c r="D26" s="4" t="s">
        <v>230</v>
      </c>
      <c r="E26" s="4" t="s">
        <v>231</v>
      </c>
      <c r="F26" s="4"/>
    </row>
    <row r="27" customFormat="false" ht="23.85" hidden="false" customHeight="false" outlineLevel="0" collapsed="false">
      <c r="A27" s="4" t="n">
        <v>23</v>
      </c>
      <c r="B27" s="4" t="s">
        <v>232</v>
      </c>
      <c r="C27" s="4" t="s">
        <v>226</v>
      </c>
      <c r="D27" s="4" t="s">
        <v>69</v>
      </c>
      <c r="E27" s="4" t="s">
        <v>233</v>
      </c>
      <c r="F27" s="4" t="s">
        <v>234</v>
      </c>
    </row>
    <row r="28" customFormat="false" ht="23.85" hidden="false" customHeight="false" outlineLevel="0" collapsed="false">
      <c r="A28" s="4" t="n">
        <v>24</v>
      </c>
      <c r="B28" s="4" t="s">
        <v>235</v>
      </c>
      <c r="C28" s="4" t="s">
        <v>236</v>
      </c>
      <c r="D28" s="4" t="s">
        <v>82</v>
      </c>
      <c r="E28" s="4" t="s">
        <v>237</v>
      </c>
      <c r="F28" s="4" t="s">
        <v>234</v>
      </c>
    </row>
    <row r="29" customFormat="false" ht="23.85" hidden="false" customHeight="false" outlineLevel="0" collapsed="false">
      <c r="A29" s="4" t="n">
        <v>25</v>
      </c>
      <c r="B29" s="4" t="s">
        <v>238</v>
      </c>
      <c r="C29" s="4" t="s">
        <v>239</v>
      </c>
      <c r="D29" s="4" t="s">
        <v>177</v>
      </c>
      <c r="E29" s="4" t="s">
        <v>97</v>
      </c>
      <c r="F29" s="4"/>
    </row>
    <row r="31" customFormat="false" ht="15" hidden="false" customHeight="false" outlineLevel="0" collapsed="false">
      <c r="A31" s="17" t="s">
        <v>240</v>
      </c>
      <c r="B31" s="17"/>
      <c r="C31" s="17"/>
      <c r="D31" s="17"/>
      <c r="E31" s="17"/>
      <c r="F31" s="17"/>
    </row>
    <row r="32" customFormat="false" ht="15" hidden="false" customHeight="false" outlineLevel="0" collapsed="false">
      <c r="A32" s="17" t="s">
        <v>241</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189</v>
      </c>
    </row>
    <row r="2" customFormat="false" ht="15" hidden="false" customHeight="false" outlineLevel="0" collapsed="false">
      <c r="A2" s="2" t="s">
        <v>242</v>
      </c>
    </row>
    <row r="4" customFormat="false" ht="33.75" hidden="false" customHeight="true" outlineLevel="0" collapsed="false">
      <c r="A4" s="5" t="s">
        <v>243</v>
      </c>
      <c r="B4" s="5" t="s">
        <v>244</v>
      </c>
      <c r="C4" s="5" t="s">
        <v>245</v>
      </c>
      <c r="D4" s="5" t="s">
        <v>246</v>
      </c>
      <c r="E4" s="5" t="s">
        <v>247</v>
      </c>
      <c r="F4" s="5" t="s">
        <v>248</v>
      </c>
      <c r="G4" s="5" t="s">
        <v>249</v>
      </c>
      <c r="H4" s="5" t="s">
        <v>250</v>
      </c>
      <c r="I4" s="5" t="s">
        <v>251</v>
      </c>
    </row>
    <row r="5" customFormat="false" ht="35.05" hidden="false" customHeight="false" outlineLevel="0" collapsed="false">
      <c r="A5" s="6" t="s">
        <v>252</v>
      </c>
      <c r="B5" s="6" t="s">
        <v>82</v>
      </c>
      <c r="C5" s="6" t="s">
        <v>253</v>
      </c>
      <c r="D5" s="6" t="s">
        <v>254</v>
      </c>
      <c r="E5" s="6" t="s">
        <v>255</v>
      </c>
      <c r="F5" s="6" t="s">
        <v>256</v>
      </c>
      <c r="G5" s="6" t="s">
        <v>257</v>
      </c>
      <c r="H5" s="6" t="s">
        <v>258</v>
      </c>
      <c r="I5" s="6" t="s">
        <v>259</v>
      </c>
    </row>
    <row r="6" customFormat="false" ht="23.85" hidden="false" customHeight="false" outlineLevel="0" collapsed="false">
      <c r="A6" s="6" t="s">
        <v>260</v>
      </c>
      <c r="B6" s="6" t="s">
        <v>82</v>
      </c>
      <c r="C6" s="6" t="s">
        <v>261</v>
      </c>
      <c r="D6" s="6" t="s">
        <v>107</v>
      </c>
      <c r="E6" s="6" t="s">
        <v>262</v>
      </c>
      <c r="F6" s="6" t="s">
        <v>256</v>
      </c>
      <c r="G6" s="6" t="s">
        <v>263</v>
      </c>
      <c r="H6" s="6" t="s">
        <v>97</v>
      </c>
      <c r="I6" s="6"/>
    </row>
    <row r="7" customFormat="false" ht="46.25" hidden="false" customHeight="false" outlineLevel="0" collapsed="false">
      <c r="A7" s="6" t="s">
        <v>264</v>
      </c>
      <c r="B7" s="6" t="s">
        <v>69</v>
      </c>
      <c r="C7" s="6" t="s">
        <v>265</v>
      </c>
      <c r="D7" s="6" t="s">
        <v>266</v>
      </c>
      <c r="E7" s="6" t="s">
        <v>267</v>
      </c>
      <c r="F7" s="6" t="s">
        <v>256</v>
      </c>
      <c r="G7" s="6" t="s">
        <v>268</v>
      </c>
      <c r="H7" s="6" t="s">
        <v>97</v>
      </c>
      <c r="I7" s="6" t="s">
        <v>269</v>
      </c>
    </row>
    <row r="8" customFormat="false" ht="46.25" hidden="false" customHeight="false" outlineLevel="0" collapsed="false">
      <c r="A8" s="6" t="s">
        <v>270</v>
      </c>
      <c r="B8" s="6" t="s">
        <v>69</v>
      </c>
      <c r="C8" s="6" t="s">
        <v>271</v>
      </c>
      <c r="D8" s="6" t="s">
        <v>272</v>
      </c>
      <c r="E8" s="6" t="s">
        <v>273</v>
      </c>
      <c r="F8" s="6" t="s">
        <v>256</v>
      </c>
      <c r="G8" s="6" t="s">
        <v>274</v>
      </c>
      <c r="H8" s="6" t="s">
        <v>97</v>
      </c>
      <c r="I8" s="6" t="s">
        <v>275</v>
      </c>
    </row>
    <row r="9" customFormat="false" ht="23.85" hidden="false" customHeight="false" outlineLevel="0" collapsed="false">
      <c r="A9" s="6" t="s">
        <v>276</v>
      </c>
      <c r="B9" s="6" t="s">
        <v>74</v>
      </c>
      <c r="C9" s="6" t="s">
        <v>277</v>
      </c>
      <c r="D9" s="6" t="s">
        <v>278</v>
      </c>
      <c r="E9" s="6" t="s">
        <v>279</v>
      </c>
      <c r="F9" s="6" t="s">
        <v>256</v>
      </c>
      <c r="G9" s="6" t="s">
        <v>280</v>
      </c>
      <c r="H9" s="6" t="s">
        <v>97</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2026-10-20T23:47:51Z</dcterms:created>
  <dc:creator>openpyxl</dc:creator>
  <dc:description/>
  <dc:language>en-US</dc:language>
  <cp:lastModifiedBy/>
  <dcterms:modified xsi:type="dcterms:W3CDTF">2026-10-20T23:47:51Z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